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regory_s_de-souza.EDU_FIESC\Downloads\Ex-empreendedorismo-main\ex-empreendedorismo-main\"/>
    </mc:Choice>
  </mc:AlternateContent>
  <xr:revisionPtr revIDLastSave="0" documentId="13_ncr:1_{D3CD8783-1CB1-4EDA-8C18-C6716648DCA0}" xr6:coauthVersionLast="47" xr6:coauthVersionMax="47" xr10:uidLastSave="{00000000-0000-0000-0000-000000000000}"/>
  <bookViews>
    <workbookView xWindow="2205" yWindow="2205" windowWidth="15375" windowHeight="7785" xr2:uid="{00000000-000D-0000-FFFF-FFFF00000000}"/>
  </bookViews>
  <sheets>
    <sheet name="Aluno" sheetId="1" r:id="rId1"/>
    <sheet name="Fa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5" i="1" l="1"/>
  <c r="G16" i="1"/>
  <c r="C24" i="1"/>
  <c r="B24" i="1"/>
  <c r="L12" i="1"/>
  <c r="G17" i="1" s="1"/>
  <c r="L13" i="1"/>
  <c r="D18" i="1" s="1"/>
  <c r="L14" i="1"/>
  <c r="G19" i="1" s="1"/>
  <c r="C22" i="1"/>
  <c r="B22" i="1"/>
  <c r="B23" i="1"/>
  <c r="C23" i="1"/>
  <c r="D6" i="2"/>
  <c r="H1" i="2"/>
  <c r="V5" i="1"/>
  <c r="V3" i="1"/>
  <c r="K3" i="2"/>
  <c r="E8" i="2"/>
  <c r="E7" i="2"/>
  <c r="D7" i="2"/>
  <c r="H3" i="2"/>
  <c r="E6" i="2" s="1"/>
  <c r="K1" i="2"/>
  <c r="D9" i="2"/>
  <c r="E19" i="1" l="1"/>
  <c r="F16" i="1"/>
  <c r="G18" i="1"/>
  <c r="G23" i="1" s="1"/>
  <c r="F18" i="1"/>
  <c r="E18" i="1"/>
  <c r="E16" i="1"/>
  <c r="F17" i="1"/>
  <c r="E17" i="1"/>
  <c r="D17" i="1"/>
  <c r="D19" i="1"/>
  <c r="G22" i="1"/>
  <c r="F19" i="1"/>
  <c r="E9" i="2"/>
  <c r="D8" i="2"/>
  <c r="F23" i="1" l="1"/>
  <c r="E23" i="1"/>
  <c r="E22" i="1"/>
  <c r="D23" i="1"/>
  <c r="D22" i="1"/>
  <c r="F22" i="1"/>
  <c r="B25" i="1" l="1"/>
</calcChain>
</file>

<file path=xl/sharedStrings.xml><?xml version="1.0" encoding="utf-8"?>
<sst xmlns="http://schemas.openxmlformats.org/spreadsheetml/2006/main" count="49" uniqueCount="42">
  <si>
    <t>Utilize fórmulas para realizar os cálculos</t>
  </si>
  <si>
    <t>d) Calcule o saldo acumulado mês a mês</t>
  </si>
  <si>
    <t>c) Quanto sobra mensalmente para Sérgio?</t>
  </si>
  <si>
    <t>b) Qual o total de despesa mensal de Sérgio?</t>
  </si>
  <si>
    <t>a) Todas as despesas e receitas mês a mês.</t>
  </si>
  <si>
    <t>Monte uma planilha, de Janeiro a Junho que mostre os seguintes itens:</t>
  </si>
  <si>
    <t>Em Abril, Sérgio ganhou 10% de aumento no seu salário. Também teve uma despesa extra com hospital de R$ 595,00</t>
  </si>
  <si>
    <t>A cada dois meses, com início em Janeiro, ele contribue com R$ 200,00 a uma ONG de crianças carentes</t>
  </si>
  <si>
    <t>A partir de Março ocorreram os seguintes reajustes: Transporte 8%; telefone/internet 7% e outras despesas 5,5%</t>
  </si>
  <si>
    <t>Ele gasta R$ 196,00 em Transporte, R$ 150,00 em telefone/internet e R$ 900,00 em outras despesas todos os meses.</t>
  </si>
  <si>
    <t>Em Janeiro de 2026, Sérgio começou a trabalhar e o seu salário inicial era de R$ 1.700,00.</t>
  </si>
  <si>
    <t>Fórmula de reajuste  =  1 + % / 100</t>
  </si>
  <si>
    <t>reajuste de --&gt;</t>
  </si>
  <si>
    <t>Fórmula de desconto  =  1 - % / 100</t>
  </si>
  <si>
    <t>desconto de --&gt;</t>
  </si>
  <si>
    <t>$ Orig.</t>
  </si>
  <si>
    <t>$ Reaj.</t>
  </si>
  <si>
    <t>$ Desc.</t>
  </si>
  <si>
    <t>Internet</t>
  </si>
  <si>
    <t>Netflix</t>
  </si>
  <si>
    <t>Água</t>
  </si>
  <si>
    <t>Luz</t>
  </si>
  <si>
    <t>Janeiro</t>
  </si>
  <si>
    <t>Março</t>
  </si>
  <si>
    <t>Abril</t>
  </si>
  <si>
    <t>Junho</t>
  </si>
  <si>
    <t>Maio</t>
  </si>
  <si>
    <t>Transporte</t>
  </si>
  <si>
    <t>Telefone/internet</t>
  </si>
  <si>
    <t>Outros</t>
  </si>
  <si>
    <t>Valores</t>
  </si>
  <si>
    <t>Reajuste de</t>
  </si>
  <si>
    <t>Sobras Total</t>
  </si>
  <si>
    <t>Saldo Acumulado</t>
  </si>
  <si>
    <t>Emergência</t>
  </si>
  <si>
    <t>Salário</t>
  </si>
  <si>
    <t>Telefone/Internet</t>
  </si>
  <si>
    <t>Contribuição Ong</t>
  </si>
  <si>
    <t>Despesas total</t>
  </si>
  <si>
    <t>Fevereiro</t>
  </si>
  <si>
    <t>Rec/Desp</t>
  </si>
  <si>
    <t>Saldo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</si>
</sst>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3"/>
    <xf numFmtId="0" fontId="0" fillId="0" borderId="0" xfId="3" applyFont="1"/>
    <xf numFmtId="2" fontId="0" fillId="0" borderId="0" xfId="1" applyNumberFormat="1" applyFont="1"/>
    <xf numFmtId="164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/>
    </xf>
    <xf numFmtId="43" fontId="0" fillId="0" borderId="0" xfId="1" applyFont="1"/>
    <xf numFmtId="43" fontId="0" fillId="0" borderId="0" xfId="0" applyNumberFormat="1"/>
    <xf numFmtId="9" fontId="0" fillId="0" borderId="0" xfId="2" applyFont="1"/>
    <xf numFmtId="0" fontId="3" fillId="2" borderId="1" xfId="3" applyFont="1" applyFill="1" applyBorder="1" applyAlignment="1">
      <alignment horizontal="center"/>
    </xf>
    <xf numFmtId="44" fontId="4" fillId="2" borderId="1" xfId="4" applyNumberFormat="1" applyFont="1" applyFill="1" applyBorder="1" applyAlignment="1">
      <alignment horizontal="center"/>
    </xf>
    <xf numFmtId="44" fontId="4" fillId="2" borderId="1" xfId="3" applyNumberFormat="1" applyFont="1" applyFill="1" applyBorder="1" applyAlignment="1">
      <alignment horizontal="center"/>
    </xf>
    <xf numFmtId="44" fontId="3" fillId="2" borderId="1" xfId="3" applyNumberFormat="1" applyFont="1" applyFill="1" applyBorder="1" applyAlignment="1">
      <alignment horizontal="center"/>
    </xf>
    <xf numFmtId="0" fontId="4" fillId="2" borderId="1" xfId="3" applyFont="1" applyFill="1" applyBorder="1" applyAlignment="1">
      <alignment horizontal="center"/>
    </xf>
    <xf numFmtId="0" fontId="3" fillId="3" borderId="1" xfId="3" applyFont="1" applyFill="1" applyBorder="1" applyAlignment="1">
      <alignment horizontal="center"/>
    </xf>
    <xf numFmtId="0" fontId="3" fillId="3" borderId="3" xfId="3" applyFont="1" applyFill="1" applyBorder="1" applyAlignment="1">
      <alignment horizontal="center"/>
    </xf>
    <xf numFmtId="44" fontId="3" fillId="2" borderId="1" xfId="3" applyNumberFormat="1" applyFont="1" applyFill="1" applyBorder="1" applyAlignment="1">
      <alignment horizontal="center"/>
    </xf>
    <xf numFmtId="0" fontId="3" fillId="2" borderId="4" xfId="3" applyFont="1" applyFill="1" applyBorder="1" applyAlignment="1">
      <alignment horizontal="center"/>
    </xf>
    <xf numFmtId="0" fontId="3" fillId="0" borderId="0" xfId="3" applyFont="1" applyFill="1" applyBorder="1" applyAlignment="1">
      <alignment horizontal="center"/>
    </xf>
    <xf numFmtId="0" fontId="3" fillId="3" borderId="2" xfId="3" applyFont="1" applyFill="1" applyBorder="1" applyAlignment="1">
      <alignment horizontal="center"/>
    </xf>
    <xf numFmtId="164" fontId="4" fillId="2" borderId="1" xfId="3" applyNumberFormat="1" applyFont="1" applyFill="1" applyBorder="1" applyAlignment="1">
      <alignment horizontal="center"/>
    </xf>
  </cellXfs>
  <cellStyles count="5">
    <cellStyle name="Moeda" xfId="4" builtinId="4"/>
    <cellStyle name="Normal" xfId="0" builtinId="0"/>
    <cellStyle name="Normal 4" xfId="3" xr:uid="{00000000-0005-0000-0000-000001000000}"/>
    <cellStyle name="Porcentagem" xfId="2" builtinId="5"/>
    <cellStyle name="Vírgula" xfId="1" builtinId="3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"/>
  <sheetViews>
    <sheetView tabSelected="1" topLeftCell="A7" zoomScale="85" zoomScaleNormal="85" workbookViewId="0">
      <selection activeCell="P17" sqref="P17"/>
    </sheetView>
  </sheetViews>
  <sheetFormatPr defaultColWidth="10.42578125" defaultRowHeight="15" x14ac:dyDescent="0.25"/>
  <cols>
    <col min="1" max="1" width="17.140625" style="1" customWidth="1"/>
    <col min="2" max="2" width="12.85546875" style="1" customWidth="1"/>
    <col min="3" max="7" width="12.140625" style="1" bestFit="1" customWidth="1"/>
    <col min="8" max="9" width="10.42578125" style="1"/>
    <col min="10" max="10" width="17.42578125" style="1" bestFit="1" customWidth="1"/>
    <col min="11" max="16" width="10.42578125" style="1"/>
    <col min="17" max="17" width="13.85546875" style="1" customWidth="1"/>
    <col min="18" max="16384" width="10.42578125" style="1"/>
  </cols>
  <sheetData>
    <row r="1" spans="1:25" x14ac:dyDescent="0.25">
      <c r="B1" s="1" t="s">
        <v>10</v>
      </c>
    </row>
    <row r="2" spans="1:25" x14ac:dyDescent="0.25">
      <c r="B2" s="1" t="s">
        <v>9</v>
      </c>
    </row>
    <row r="3" spans="1:25" x14ac:dyDescent="0.25">
      <c r="B3" s="1" t="s">
        <v>8</v>
      </c>
      <c r="L3"/>
      <c r="M3"/>
      <c r="N3"/>
      <c r="O3"/>
      <c r="P3"/>
      <c r="Q3"/>
      <c r="R3" s="3"/>
      <c r="S3" s="4"/>
      <c r="T3"/>
      <c r="U3" s="5">
        <v>0.08</v>
      </c>
      <c r="V3" s="4">
        <f>1+U3</f>
        <v>1.08</v>
      </c>
    </row>
    <row r="4" spans="1:25" x14ac:dyDescent="0.25">
      <c r="B4" s="1" t="s">
        <v>7</v>
      </c>
      <c r="L4"/>
      <c r="M4"/>
      <c r="N4"/>
      <c r="O4"/>
      <c r="P4"/>
      <c r="Q4"/>
      <c r="R4"/>
      <c r="S4"/>
      <c r="T4"/>
      <c r="U4" s="6"/>
      <c r="V4" s="4"/>
    </row>
    <row r="5" spans="1:25" x14ac:dyDescent="0.25">
      <c r="B5" s="2" t="s">
        <v>6</v>
      </c>
      <c r="L5"/>
      <c r="M5"/>
      <c r="N5"/>
      <c r="O5"/>
      <c r="P5"/>
      <c r="Q5"/>
      <c r="R5" s="7"/>
      <c r="S5" s="4"/>
      <c r="T5"/>
      <c r="U5" s="5">
        <v>6.3E-2</v>
      </c>
      <c r="V5" s="4">
        <f>1-U5</f>
        <v>0.93700000000000006</v>
      </c>
      <c r="W5"/>
      <c r="X5" s="5"/>
      <c r="Y5" s="4"/>
    </row>
    <row r="6" spans="1:25" x14ac:dyDescent="0.25">
      <c r="O6"/>
      <c r="P6"/>
      <c r="Q6"/>
      <c r="R6"/>
      <c r="S6"/>
      <c r="T6"/>
      <c r="U6"/>
      <c r="V6"/>
      <c r="W6"/>
      <c r="X6" s="6"/>
      <c r="Y6" s="4"/>
    </row>
    <row r="7" spans="1:25" x14ac:dyDescent="0.25">
      <c r="B7" s="1" t="s">
        <v>5</v>
      </c>
      <c r="O7"/>
      <c r="P7"/>
      <c r="Q7"/>
      <c r="R7"/>
      <c r="S7"/>
      <c r="T7"/>
      <c r="U7" s="7"/>
      <c r="V7" s="4"/>
      <c r="W7"/>
      <c r="X7" s="5"/>
      <c r="Y7" s="4"/>
    </row>
    <row r="8" spans="1:25" x14ac:dyDescent="0.25">
      <c r="B8" s="1" t="s">
        <v>4</v>
      </c>
      <c r="O8"/>
      <c r="P8"/>
      <c r="Q8"/>
      <c r="R8"/>
      <c r="S8"/>
      <c r="T8"/>
      <c r="U8"/>
      <c r="V8"/>
      <c r="W8"/>
      <c r="X8"/>
      <c r="Y8"/>
    </row>
    <row r="9" spans="1:25" x14ac:dyDescent="0.25">
      <c r="B9" s="1" t="s">
        <v>3</v>
      </c>
      <c r="O9"/>
      <c r="P9"/>
      <c r="Q9" s="8"/>
      <c r="R9" s="8"/>
      <c r="S9" s="8"/>
      <c r="T9"/>
      <c r="U9"/>
      <c r="V9"/>
      <c r="W9"/>
      <c r="X9"/>
      <c r="Y9"/>
    </row>
    <row r="10" spans="1:25" x14ac:dyDescent="0.25">
      <c r="B10" s="1" t="s">
        <v>2</v>
      </c>
      <c r="O10"/>
      <c r="P10"/>
      <c r="Q10" s="9"/>
      <c r="R10" s="10"/>
      <c r="S10" s="10"/>
      <c r="T10"/>
      <c r="U10"/>
      <c r="V10"/>
      <c r="W10"/>
      <c r="X10"/>
      <c r="Y10"/>
    </row>
    <row r="11" spans="1:25" x14ac:dyDescent="0.25">
      <c r="B11" s="1" t="s">
        <v>1</v>
      </c>
      <c r="O11"/>
      <c r="P11"/>
      <c r="Q11" s="9"/>
      <c r="R11" s="10"/>
      <c r="S11" s="10"/>
      <c r="T11"/>
      <c r="U11" s="11"/>
      <c r="V11" s="4"/>
      <c r="W11"/>
      <c r="X11"/>
      <c r="Y11"/>
    </row>
    <row r="12" spans="1:25" x14ac:dyDescent="0.25">
      <c r="J12" s="17" t="s">
        <v>31</v>
      </c>
      <c r="K12" s="16">
        <v>8</v>
      </c>
      <c r="L12" s="23">
        <f>1+K12/100</f>
        <v>1.08</v>
      </c>
      <c r="O12"/>
      <c r="P12"/>
      <c r="Q12" s="9"/>
      <c r="R12" s="10"/>
      <c r="S12" s="10"/>
      <c r="T12"/>
      <c r="U12"/>
      <c r="V12"/>
      <c r="W12"/>
      <c r="X12"/>
      <c r="Y12"/>
    </row>
    <row r="13" spans="1:25" x14ac:dyDescent="0.25">
      <c r="B13" s="1" t="s">
        <v>0</v>
      </c>
      <c r="J13" s="17" t="s">
        <v>31</v>
      </c>
      <c r="K13" s="16">
        <v>7</v>
      </c>
      <c r="L13" s="23">
        <f>1+K13/100</f>
        <v>1.07</v>
      </c>
      <c r="O13"/>
      <c r="P13"/>
      <c r="Q13" s="9"/>
      <c r="R13" s="10"/>
      <c r="S13" s="10"/>
      <c r="T13"/>
      <c r="U13"/>
      <c r="V13"/>
      <c r="W13"/>
      <c r="X13"/>
      <c r="Y13"/>
    </row>
    <row r="14" spans="1:25" x14ac:dyDescent="0.25">
      <c r="J14" s="17" t="s">
        <v>31</v>
      </c>
      <c r="K14" s="16">
        <v>5.5</v>
      </c>
      <c r="L14" s="16">
        <f>1+K14/100</f>
        <v>1.0549999999999999</v>
      </c>
    </row>
    <row r="15" spans="1:25" x14ac:dyDescent="0.25">
      <c r="A15" s="17" t="s">
        <v>40</v>
      </c>
      <c r="B15" s="17" t="s">
        <v>22</v>
      </c>
      <c r="C15" s="17" t="s">
        <v>39</v>
      </c>
      <c r="D15" s="17" t="s">
        <v>23</v>
      </c>
      <c r="E15" s="17" t="s">
        <v>24</v>
      </c>
      <c r="F15" s="17" t="s">
        <v>26</v>
      </c>
      <c r="G15" s="17" t="s">
        <v>25</v>
      </c>
      <c r="J15" s="17" t="s">
        <v>31</v>
      </c>
      <c r="K15" s="16">
        <v>10</v>
      </c>
      <c r="L15" s="16">
        <f>1+K15/100</f>
        <v>1.1000000000000001</v>
      </c>
    </row>
    <row r="16" spans="1:25" x14ac:dyDescent="0.25">
      <c r="A16" s="12" t="s">
        <v>35</v>
      </c>
      <c r="B16" s="13">
        <v>1700</v>
      </c>
      <c r="C16" s="13">
        <v>1700</v>
      </c>
      <c r="D16" s="13">
        <v>1700</v>
      </c>
      <c r="E16" s="13">
        <f>$K$25*$L$15</f>
        <v>1870.0000000000002</v>
      </c>
      <c r="F16" s="13">
        <f>$K$25*$L$15</f>
        <v>1870.0000000000002</v>
      </c>
      <c r="G16" s="13">
        <f>$K$25*$L$15</f>
        <v>1870.0000000000002</v>
      </c>
    </row>
    <row r="17" spans="1:11" x14ac:dyDescent="0.25">
      <c r="A17" s="12" t="s">
        <v>27</v>
      </c>
      <c r="B17" s="14">
        <v>196</v>
      </c>
      <c r="C17" s="14">
        <v>196</v>
      </c>
      <c r="D17" s="14">
        <f>$K$26*$L$12</f>
        <v>211.68</v>
      </c>
      <c r="E17" s="14">
        <f>$K$26*$L$12</f>
        <v>211.68</v>
      </c>
      <c r="F17" s="14">
        <f>$K$26*$L$12</f>
        <v>211.68</v>
      </c>
      <c r="G17" s="14">
        <f>$K$26*$L$12</f>
        <v>211.68</v>
      </c>
    </row>
    <row r="18" spans="1:11" x14ac:dyDescent="0.25">
      <c r="A18" s="12" t="s">
        <v>36</v>
      </c>
      <c r="B18" s="14">
        <v>150</v>
      </c>
      <c r="C18" s="14">
        <v>150</v>
      </c>
      <c r="D18" s="14">
        <f>$K$27*$L$13</f>
        <v>160.5</v>
      </c>
      <c r="E18" s="14">
        <f>$K$27*$L$13</f>
        <v>160.5</v>
      </c>
      <c r="F18" s="14">
        <f>$K$27*$L$13</f>
        <v>160.5</v>
      </c>
      <c r="G18" s="14">
        <f>$K$27*$L$13</f>
        <v>160.5</v>
      </c>
    </row>
    <row r="19" spans="1:11" x14ac:dyDescent="0.25">
      <c r="A19" s="12" t="s">
        <v>29</v>
      </c>
      <c r="B19" s="14">
        <v>900</v>
      </c>
      <c r="C19" s="14">
        <v>900</v>
      </c>
      <c r="D19" s="14">
        <f>$K$28*$L$14</f>
        <v>949.5</v>
      </c>
      <c r="E19" s="14">
        <f>$K$28*$L$14</f>
        <v>949.5</v>
      </c>
      <c r="F19" s="14">
        <f>$K$28*$L$14</f>
        <v>949.5</v>
      </c>
      <c r="G19" s="14">
        <f>$K$28*$L$14</f>
        <v>949.5</v>
      </c>
    </row>
    <row r="20" spans="1:11" x14ac:dyDescent="0.25">
      <c r="A20" s="12" t="s">
        <v>37</v>
      </c>
      <c r="B20" s="15">
        <v>200</v>
      </c>
      <c r="C20" s="15"/>
      <c r="D20" s="15">
        <v>200</v>
      </c>
      <c r="E20" s="15"/>
      <c r="F20" s="15">
        <v>200</v>
      </c>
      <c r="G20" s="15"/>
    </row>
    <row r="21" spans="1:11" x14ac:dyDescent="0.25">
      <c r="A21" s="12" t="s">
        <v>34</v>
      </c>
      <c r="B21" s="15"/>
      <c r="C21" s="15"/>
      <c r="D21" s="15"/>
      <c r="E21" s="15">
        <v>595</v>
      </c>
      <c r="F21" s="15"/>
      <c r="G21" s="15"/>
    </row>
    <row r="22" spans="1:11" x14ac:dyDescent="0.25">
      <c r="A22" s="12" t="s">
        <v>32</v>
      </c>
      <c r="B22" s="15">
        <f>B16-B17-B18-B19</f>
        <v>454</v>
      </c>
      <c r="C22" s="15">
        <f>C16-C17-C19-C18-C20</f>
        <v>454</v>
      </c>
      <c r="D22" s="15">
        <f>D16-D17-D18-D19</f>
        <v>378.31999999999994</v>
      </c>
      <c r="E22" s="15">
        <f>E16-E17-E18-E19-E20-E21</f>
        <v>-46.679999999999836</v>
      </c>
      <c r="F22" s="15">
        <f>F16-F17-F18-F19</f>
        <v>548.32000000000016</v>
      </c>
      <c r="G22" s="15">
        <f>G16-G17-G19-G18-G20</f>
        <v>548.32000000000016</v>
      </c>
    </row>
    <row r="23" spans="1:11" x14ac:dyDescent="0.25">
      <c r="A23" s="12" t="s">
        <v>38</v>
      </c>
      <c r="B23" s="15">
        <f>SUM(B17:B19)</f>
        <v>1246</v>
      </c>
      <c r="C23" s="15">
        <f>SUM(C17:C20)</f>
        <v>1246</v>
      </c>
      <c r="D23" s="15">
        <f>SUM(D17:D19)</f>
        <v>1321.68</v>
      </c>
      <c r="E23" s="15">
        <f>SUM(E17:E21)</f>
        <v>1916.68</v>
      </c>
      <c r="F23" s="15">
        <f>SUM(F17:F19)</f>
        <v>1321.68</v>
      </c>
      <c r="G23" s="15">
        <f>SUM(G17:G20)</f>
        <v>1321.68</v>
      </c>
      <c r="J23" s="21" t="s">
        <v>30</v>
      </c>
      <c r="K23" s="21"/>
    </row>
    <row r="24" spans="1:11" x14ac:dyDescent="0.25">
      <c r="A24" s="12" t="s">
        <v>41</v>
      </c>
      <c r="B24" s="15">
        <f>SUM(B16-B23)</f>
        <v>454</v>
      </c>
      <c r="C24" s="15">
        <f>C16-C23</f>
        <v>454</v>
      </c>
      <c r="D24" s="15"/>
      <c r="E24" s="15"/>
      <c r="F24" s="15"/>
      <c r="G24" s="15"/>
      <c r="J24" s="22" t="s">
        <v>30</v>
      </c>
      <c r="K24" s="18"/>
    </row>
    <row r="25" spans="1:11" x14ac:dyDescent="0.25">
      <c r="A25" s="15" t="s">
        <v>33</v>
      </c>
      <c r="B25" s="19">
        <f>SUM(Aluno!B22:G22)</f>
        <v>2336.2800000000007</v>
      </c>
      <c r="C25" s="19"/>
      <c r="D25" s="19"/>
      <c r="E25" s="19"/>
      <c r="F25" s="19"/>
      <c r="G25" s="19"/>
      <c r="J25" s="20" t="s">
        <v>35</v>
      </c>
      <c r="K25" s="20">
        <v>1700</v>
      </c>
    </row>
    <row r="26" spans="1:11" x14ac:dyDescent="0.25">
      <c r="J26" s="12" t="s">
        <v>27</v>
      </c>
      <c r="K26" s="16">
        <v>196</v>
      </c>
    </row>
    <row r="27" spans="1:11" x14ac:dyDescent="0.25">
      <c r="J27" s="12" t="s">
        <v>28</v>
      </c>
      <c r="K27" s="16">
        <v>150</v>
      </c>
    </row>
    <row r="28" spans="1:11" x14ac:dyDescent="0.25">
      <c r="J28" s="12" t="s">
        <v>29</v>
      </c>
      <c r="K28" s="16">
        <v>900</v>
      </c>
    </row>
  </sheetData>
  <mergeCells count="2">
    <mergeCell ref="J23:K23"/>
    <mergeCell ref="B25:G25"/>
  </mergeCells>
  <conditionalFormatting sqref="B22:G24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zoomScaleNormal="100" workbookViewId="0">
      <selection activeCell="D6" sqref="D6"/>
    </sheetView>
  </sheetViews>
  <sheetFormatPr defaultRowHeight="15" x14ac:dyDescent="0.25"/>
  <cols>
    <col min="6" max="6" width="17" customWidth="1"/>
    <col min="7" max="7" width="7" customWidth="1"/>
    <col min="8" max="8" width="9.28515625" customWidth="1"/>
    <col min="10" max="10" width="7" customWidth="1"/>
    <col min="11" max="11" width="9.28515625" customWidth="1"/>
  </cols>
  <sheetData>
    <row r="1" spans="1:11" x14ac:dyDescent="0.25">
      <c r="A1" t="s">
        <v>11</v>
      </c>
      <c r="F1" t="s">
        <v>12</v>
      </c>
      <c r="G1" s="3">
        <v>8</v>
      </c>
      <c r="H1" s="4">
        <f>1+G1/100</f>
        <v>1.08</v>
      </c>
      <c r="J1" s="5">
        <v>0.08</v>
      </c>
      <c r="K1" s="4">
        <f>1+J1</f>
        <v>1.08</v>
      </c>
    </row>
    <row r="2" spans="1:11" x14ac:dyDescent="0.25">
      <c r="J2" s="6"/>
      <c r="K2" s="4"/>
    </row>
    <row r="3" spans="1:11" x14ac:dyDescent="0.25">
      <c r="A3" t="s">
        <v>13</v>
      </c>
      <c r="F3" t="s">
        <v>14</v>
      </c>
      <c r="G3" s="7">
        <v>6.3</v>
      </c>
      <c r="H3" s="4">
        <f>1-G3/100</f>
        <v>0.93700000000000006</v>
      </c>
      <c r="J3" s="5">
        <v>6.3E-2</v>
      </c>
      <c r="K3" s="4">
        <f>1-J3</f>
        <v>0.93700000000000006</v>
      </c>
    </row>
    <row r="5" spans="1:11" x14ac:dyDescent="0.25">
      <c r="C5" s="8" t="s">
        <v>15</v>
      </c>
      <c r="D5" s="8" t="s">
        <v>16</v>
      </c>
      <c r="E5" s="8" t="s">
        <v>17</v>
      </c>
    </row>
    <row r="6" spans="1:11" x14ac:dyDescent="0.25">
      <c r="B6" t="s">
        <v>18</v>
      </c>
      <c r="C6" s="9">
        <v>150</v>
      </c>
      <c r="D6" s="10">
        <f>C6*$H$1</f>
        <v>162</v>
      </c>
      <c r="E6" s="10">
        <f>C6*$H$3</f>
        <v>140.55000000000001</v>
      </c>
    </row>
    <row r="7" spans="1:11" x14ac:dyDescent="0.25">
      <c r="B7" t="s">
        <v>19</v>
      </c>
      <c r="C7" s="9">
        <v>40</v>
      </c>
      <c r="D7" s="10">
        <f>C7*$H$1</f>
        <v>43.2</v>
      </c>
      <c r="E7" s="10">
        <f>C7*$H$3</f>
        <v>37.480000000000004</v>
      </c>
      <c r="G7" s="11"/>
      <c r="H7" s="4"/>
    </row>
    <row r="8" spans="1:11" x14ac:dyDescent="0.25">
      <c r="B8" t="s">
        <v>20</v>
      </c>
      <c r="C8" s="9">
        <v>120</v>
      </c>
      <c r="D8" s="10">
        <f>C8*$H$1</f>
        <v>129.60000000000002</v>
      </c>
      <c r="E8" s="10">
        <f>C8*$H$3</f>
        <v>112.44000000000001</v>
      </c>
    </row>
    <row r="9" spans="1:11" x14ac:dyDescent="0.25">
      <c r="B9" t="s">
        <v>21</v>
      </c>
      <c r="C9" s="9">
        <v>300</v>
      </c>
      <c r="D9" s="10">
        <f>C9*$H$1</f>
        <v>324</v>
      </c>
      <c r="E9" s="10">
        <f>C9*$H$3</f>
        <v>281.10000000000002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Aluno</vt:lpstr>
      <vt:lpstr>Fator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Guedert</dc:creator>
  <cp:lastModifiedBy>GREGORY DOS SANTOS DE SOUZA</cp:lastModifiedBy>
  <dcterms:created xsi:type="dcterms:W3CDTF">2026-04-27T14:14:20Z</dcterms:created>
  <dcterms:modified xsi:type="dcterms:W3CDTF">2026-05-04T17:29:05Z</dcterms:modified>
</cp:coreProperties>
</file>