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gory_s_de-souza\Documents\"/>
    </mc:Choice>
  </mc:AlternateContent>
  <xr:revisionPtr revIDLastSave="0" documentId="8_{F108A30C-468D-499E-A11C-967E6650F855}" xr6:coauthVersionLast="47" xr6:coauthVersionMax="47" xr10:uidLastSave="{00000000-0000-0000-0000-000000000000}"/>
  <bookViews>
    <workbookView xWindow="-120" yWindow="-120" windowWidth="20730" windowHeight="11040" xr2:uid="{C879F371-14E4-49DE-B4B1-55B8CA52014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5" i="1" l="1"/>
  <c r="E36" i="1"/>
  <c r="E34" i="1"/>
  <c r="F34" i="1"/>
  <c r="F35" i="1"/>
  <c r="F36" i="1"/>
  <c r="C37" i="1"/>
  <c r="B37" i="1"/>
  <c r="E23" i="1"/>
  <c r="E24" i="1"/>
  <c r="E25" i="1"/>
  <c r="E26" i="1"/>
  <c r="E21" i="1"/>
  <c r="E22" i="1"/>
  <c r="E11" i="1"/>
  <c r="E12" i="1"/>
  <c r="E13" i="1"/>
  <c r="E14" i="1"/>
  <c r="E15" i="1"/>
  <c r="E16" i="1"/>
  <c r="E17" i="1"/>
  <c r="E10" i="1"/>
  <c r="C27" i="1"/>
  <c r="B27" i="1"/>
  <c r="E27" i="1" s="1"/>
  <c r="C18" i="1"/>
  <c r="B6" i="1"/>
  <c r="B18" i="1"/>
  <c r="E37" i="1" l="1"/>
  <c r="E18" i="1"/>
  <c r="F37" i="1"/>
  <c r="B29" i="1"/>
  <c r="B31" i="1" s="1"/>
</calcChain>
</file>

<file path=xl/sharedStrings.xml><?xml version="1.0" encoding="utf-8"?>
<sst xmlns="http://schemas.openxmlformats.org/spreadsheetml/2006/main" count="34" uniqueCount="34">
  <si>
    <t>Controle Financeiro</t>
  </si>
  <si>
    <t>Receitas</t>
  </si>
  <si>
    <t>Salário</t>
  </si>
  <si>
    <t>Outros</t>
  </si>
  <si>
    <t>Total de Receitas</t>
  </si>
  <si>
    <t>Despesas</t>
  </si>
  <si>
    <t>$Orçado</t>
  </si>
  <si>
    <t>$Realizado</t>
  </si>
  <si>
    <t>Desp. Fixas</t>
  </si>
  <si>
    <t>Desp. Váriaveis</t>
  </si>
  <si>
    <t>Água</t>
  </si>
  <si>
    <t>Condomínio</t>
  </si>
  <si>
    <t>Gás</t>
  </si>
  <si>
    <t>Internet</t>
  </si>
  <si>
    <t>Plano de saúde</t>
  </si>
  <si>
    <t>Combústivel</t>
  </si>
  <si>
    <t>Supermercado</t>
  </si>
  <si>
    <t>Luz</t>
  </si>
  <si>
    <t>Total Desp. Fixas</t>
  </si>
  <si>
    <t>Iptu (3/10)</t>
  </si>
  <si>
    <t>Patota</t>
  </si>
  <si>
    <t>Lazer</t>
  </si>
  <si>
    <t>Presente pra mulher</t>
  </si>
  <si>
    <t>Aniversário</t>
  </si>
  <si>
    <t>Seguro carro (4/8)</t>
  </si>
  <si>
    <t>Total das Despesas</t>
  </si>
  <si>
    <t>Total Desp. Variável</t>
  </si>
  <si>
    <t>Saldo</t>
  </si>
  <si>
    <t>Diferença</t>
  </si>
  <si>
    <t>Investimentos</t>
  </si>
  <si>
    <t>Poupança</t>
  </si>
  <si>
    <t>CDB ViaCredi</t>
  </si>
  <si>
    <t>Prev. Privada (Sicoob)</t>
  </si>
  <si>
    <t>Total investido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</si>
</sst>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[$-416]mmmm\-yy;@"/>
    <numFmt numFmtId="166" formatCode="0.00_ ;[Red]\-0.00\ 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 tint="-4.9989318521683403E-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4" fontId="0" fillId="0" borderId="1" xfId="0" applyNumberFormat="1" applyFont="1" applyBorder="1"/>
    <xf numFmtId="0" fontId="0" fillId="0" borderId="1" xfId="0" applyBorder="1"/>
    <xf numFmtId="4" fontId="0" fillId="0" borderId="1" xfId="0" applyNumberFormat="1" applyFon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0" fontId="0" fillId="0" borderId="1" xfId="2" applyNumberFormat="1" applyFont="1" applyBorder="1"/>
    <xf numFmtId="0" fontId="4" fillId="3" borderId="1" xfId="0" applyFont="1" applyFill="1" applyBorder="1"/>
    <xf numFmtId="0" fontId="0" fillId="3" borderId="1" xfId="0" applyFill="1" applyBorder="1"/>
    <xf numFmtId="166" fontId="0" fillId="0" borderId="1" xfId="0" applyNumberFormat="1" applyBorder="1" applyAlignment="1">
      <alignment horizontal="center" vertical="center"/>
    </xf>
    <xf numFmtId="0" fontId="3" fillId="2" borderId="5" xfId="0" applyFont="1" applyFill="1" applyBorder="1"/>
    <xf numFmtId="0" fontId="3" fillId="2" borderId="6" xfId="0" applyFont="1" applyFill="1" applyBorder="1"/>
    <xf numFmtId="0" fontId="0" fillId="2" borderId="6" xfId="0" applyFill="1" applyBorder="1"/>
    <xf numFmtId="0" fontId="3" fillId="2" borderId="2" xfId="0" applyFont="1" applyFill="1" applyBorder="1"/>
    <xf numFmtId="4" fontId="2" fillId="5" borderId="1" xfId="0" applyNumberFormat="1" applyFont="1" applyFill="1" applyBorder="1" applyAlignment="1">
      <alignment horizontal="center" vertical="center"/>
    </xf>
    <xf numFmtId="4" fontId="2" fillId="5" borderId="1" xfId="0" applyNumberFormat="1" applyFont="1" applyFill="1" applyBorder="1"/>
    <xf numFmtId="4" fontId="2" fillId="5" borderId="3" xfId="0" applyNumberFormat="1" applyFont="1" applyFill="1" applyBorder="1"/>
    <xf numFmtId="4" fontId="0" fillId="5" borderId="3" xfId="0" applyNumberFormat="1" applyFont="1" applyFill="1" applyBorder="1"/>
    <xf numFmtId="4" fontId="0" fillId="4" borderId="1" xfId="0" applyNumberFormat="1" applyFont="1" applyFill="1" applyBorder="1"/>
    <xf numFmtId="4" fontId="2" fillId="4" borderId="1" xfId="0" applyNumberFormat="1" applyFont="1" applyFill="1" applyBorder="1"/>
    <xf numFmtId="0" fontId="2" fillId="4" borderId="1" xfId="0" applyFont="1" applyFill="1" applyBorder="1"/>
    <xf numFmtId="165" fontId="2" fillId="4" borderId="1" xfId="0" applyNumberFormat="1" applyFont="1" applyFill="1" applyBorder="1"/>
    <xf numFmtId="0" fontId="0" fillId="4" borderId="1" xfId="0" applyFill="1" applyBorder="1"/>
    <xf numFmtId="4" fontId="2" fillId="4" borderId="1" xfId="0" applyNumberFormat="1" applyFont="1" applyFill="1" applyBorder="1" applyAlignment="1">
      <alignment horizontal="center" vertical="center"/>
    </xf>
    <xf numFmtId="43" fontId="0" fillId="4" borderId="1" xfId="1" applyFont="1" applyFill="1" applyBorder="1" applyAlignment="1">
      <alignment horizontal="center" vertical="center"/>
    </xf>
    <xf numFmtId="10" fontId="0" fillId="4" borderId="1" xfId="2" applyNumberFormat="1" applyFont="1" applyFill="1" applyBorder="1"/>
    <xf numFmtId="4" fontId="7" fillId="4" borderId="1" xfId="0" applyNumberFormat="1" applyFont="1" applyFill="1" applyBorder="1" applyAlignment="1">
      <alignment horizontal="center" vertical="center"/>
    </xf>
    <xf numFmtId="4" fontId="0" fillId="4" borderId="1" xfId="0" applyNumberFormat="1" applyFont="1" applyFill="1" applyBorder="1" applyAlignment="1">
      <alignment horizontal="center" vertical="center"/>
    </xf>
    <xf numFmtId="4" fontId="6" fillId="4" borderId="1" xfId="0" applyNumberFormat="1" applyFont="1" applyFill="1" applyBorder="1"/>
    <xf numFmtId="4" fontId="0" fillId="5" borderId="1" xfId="0" applyNumberFormat="1" applyFont="1" applyFill="1" applyBorder="1" applyAlignment="1">
      <alignment horizontal="center" vertical="center"/>
    </xf>
    <xf numFmtId="43" fontId="0" fillId="5" borderId="1" xfId="1" applyFont="1" applyFill="1" applyBorder="1" applyAlignment="1">
      <alignment horizontal="center" vertical="center"/>
    </xf>
    <xf numFmtId="0" fontId="0" fillId="5" borderId="1" xfId="0" applyFill="1" applyBorder="1"/>
    <xf numFmtId="4" fontId="0" fillId="5" borderId="1" xfId="0" applyNumberFormat="1" applyFont="1" applyFill="1" applyBorder="1"/>
    <xf numFmtId="0" fontId="0" fillId="5" borderId="4" xfId="0" applyFill="1" applyBorder="1"/>
    <xf numFmtId="0" fontId="0" fillId="5" borderId="3" xfId="0" applyFill="1" applyBorder="1"/>
    <xf numFmtId="166" fontId="2" fillId="4" borderId="1" xfId="0" applyNumberFormat="1" applyFont="1" applyFill="1" applyBorder="1" applyAlignment="1">
      <alignment horizontal="center" vertical="center"/>
    </xf>
    <xf numFmtId="0" fontId="0" fillId="4" borderId="1" xfId="0" applyFont="1" applyFill="1" applyBorder="1"/>
    <xf numFmtId="0" fontId="5" fillId="4" borderId="5" xfId="0" applyFont="1" applyFill="1" applyBorder="1"/>
    <xf numFmtId="0" fontId="5" fillId="4" borderId="6" xfId="0" applyFont="1" applyFill="1" applyBorder="1"/>
    <xf numFmtId="165" fontId="5" fillId="4" borderId="6" xfId="0" applyNumberFormat="1" applyFont="1" applyFill="1" applyBorder="1"/>
    <xf numFmtId="0" fontId="0" fillId="4" borderId="6" xfId="0" applyFill="1" applyBorder="1"/>
    <xf numFmtId="0" fontId="0" fillId="4" borderId="2" xfId="0" applyFill="1" applyBorder="1"/>
  </cellXfs>
  <cellStyles count="3">
    <cellStyle name="Normal" xfId="0" builtinId="0"/>
    <cellStyle name="Porcentagem" xfId="2" builtinId="5"/>
    <cellStyle name="Vírgula" xfId="1" builtinId="3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F0B63-422A-442F-8E19-42EE66306373}">
  <dimension ref="A1:F37"/>
  <sheetViews>
    <sheetView tabSelected="1" topLeftCell="A27" zoomScaleNormal="100" workbookViewId="0">
      <selection activeCell="C9" sqref="C9:F9"/>
    </sheetView>
  </sheetViews>
  <sheetFormatPr defaultRowHeight="14.25"/>
  <cols>
    <col min="1" max="1" width="19.375" bestFit="1" customWidth="1"/>
    <col min="2" max="2" width="8.125" bestFit="1" customWidth="1"/>
    <col min="3" max="3" width="9.875" bestFit="1" customWidth="1"/>
    <col min="5" max="5" width="8.875" bestFit="1" customWidth="1"/>
  </cols>
  <sheetData>
    <row r="1" spans="1:6" ht="15.75">
      <c r="A1" s="37" t="s">
        <v>0</v>
      </c>
      <c r="B1" s="38"/>
      <c r="C1" s="39">
        <v>46127</v>
      </c>
      <c r="D1" s="40"/>
      <c r="E1" s="41"/>
      <c r="F1" s="41"/>
    </row>
    <row r="2" spans="1:6">
      <c r="A2" s="34"/>
      <c r="B2" s="34"/>
      <c r="C2" s="34"/>
      <c r="D2" s="34"/>
      <c r="E2" s="34"/>
      <c r="F2" s="31"/>
    </row>
    <row r="3" spans="1:6" ht="15.75">
      <c r="A3" s="7" t="s">
        <v>1</v>
      </c>
      <c r="B3" s="7"/>
      <c r="C3" s="7"/>
      <c r="D3" s="8"/>
      <c r="E3" s="8"/>
      <c r="F3" s="8"/>
    </row>
    <row r="4" spans="1:6">
      <c r="A4" s="2" t="s">
        <v>2</v>
      </c>
      <c r="B4" s="9">
        <v>3500</v>
      </c>
      <c r="C4" s="2"/>
      <c r="D4" s="2"/>
      <c r="E4" s="2"/>
      <c r="F4" s="2"/>
    </row>
    <row r="5" spans="1:6">
      <c r="A5" s="2" t="s">
        <v>3</v>
      </c>
      <c r="B5" s="9">
        <v>200</v>
      </c>
      <c r="C5" s="2"/>
      <c r="D5" s="2"/>
      <c r="E5" s="2"/>
      <c r="F5" s="2"/>
    </row>
    <row r="6" spans="1:6" ht="15">
      <c r="A6" s="20" t="s">
        <v>4</v>
      </c>
      <c r="B6" s="35">
        <f>SUM(B4:B5)</f>
        <v>3700</v>
      </c>
      <c r="C6" s="36"/>
      <c r="D6" s="22"/>
      <c r="E6" s="22"/>
      <c r="F6" s="22"/>
    </row>
    <row r="7" spans="1:6">
      <c r="A7" s="33"/>
      <c r="B7" s="33"/>
      <c r="C7" s="33"/>
      <c r="D7" s="33"/>
      <c r="E7" s="33"/>
      <c r="F7" s="31"/>
    </row>
    <row r="8" spans="1:6" ht="15.75">
      <c r="A8" s="10" t="s">
        <v>5</v>
      </c>
      <c r="B8" s="11" t="s">
        <v>6</v>
      </c>
      <c r="C8" s="11" t="s">
        <v>7</v>
      </c>
      <c r="D8" s="12"/>
      <c r="E8" s="13" t="s">
        <v>28</v>
      </c>
      <c r="F8" s="13"/>
    </row>
    <row r="9" spans="1:6" ht="15">
      <c r="A9" s="16" t="s">
        <v>8</v>
      </c>
      <c r="B9" s="17"/>
      <c r="C9" s="17"/>
      <c r="D9" s="17"/>
      <c r="E9" s="17"/>
      <c r="F9" s="17"/>
    </row>
    <row r="10" spans="1:6">
      <c r="A10" s="1" t="s">
        <v>10</v>
      </c>
      <c r="B10" s="3">
        <v>100</v>
      </c>
      <c r="C10" s="3">
        <v>90</v>
      </c>
      <c r="D10" s="3"/>
      <c r="E10" s="4">
        <f>B10-C10</f>
        <v>10</v>
      </c>
      <c r="F10" s="2"/>
    </row>
    <row r="11" spans="1:6">
      <c r="A11" s="1" t="s">
        <v>11</v>
      </c>
      <c r="B11" s="3">
        <v>400</v>
      </c>
      <c r="C11" s="3">
        <v>400</v>
      </c>
      <c r="D11" s="3"/>
      <c r="E11" s="4">
        <f t="shared" ref="E11:E18" si="0">B11-C11</f>
        <v>0</v>
      </c>
      <c r="F11" s="2"/>
    </row>
    <row r="12" spans="1:6">
      <c r="A12" s="1" t="s">
        <v>12</v>
      </c>
      <c r="B12" s="3">
        <v>37</v>
      </c>
      <c r="C12" s="3">
        <v>35</v>
      </c>
      <c r="D12" s="3"/>
      <c r="E12" s="4">
        <f t="shared" si="0"/>
        <v>2</v>
      </c>
      <c r="F12" s="2"/>
    </row>
    <row r="13" spans="1:6">
      <c r="A13" s="1" t="s">
        <v>17</v>
      </c>
      <c r="B13" s="3">
        <v>200</v>
      </c>
      <c r="C13" s="3">
        <v>180</v>
      </c>
      <c r="D13" s="3"/>
      <c r="E13" s="4">
        <f t="shared" si="0"/>
        <v>20</v>
      </c>
      <c r="F13" s="2"/>
    </row>
    <row r="14" spans="1:6">
      <c r="A14" s="1" t="s">
        <v>13</v>
      </c>
      <c r="B14" s="3">
        <v>100</v>
      </c>
      <c r="C14" s="3">
        <v>100</v>
      </c>
      <c r="D14" s="3"/>
      <c r="E14" s="4">
        <f t="shared" si="0"/>
        <v>0</v>
      </c>
      <c r="F14" s="2"/>
    </row>
    <row r="15" spans="1:6">
      <c r="A15" s="1" t="s">
        <v>14</v>
      </c>
      <c r="B15" s="3">
        <v>300</v>
      </c>
      <c r="C15" s="3">
        <v>300</v>
      </c>
      <c r="D15" s="3"/>
      <c r="E15" s="4">
        <f t="shared" si="0"/>
        <v>0</v>
      </c>
      <c r="F15" s="2"/>
    </row>
    <row r="16" spans="1:6">
      <c r="A16" s="1" t="s">
        <v>15</v>
      </c>
      <c r="B16" s="3">
        <v>600</v>
      </c>
      <c r="C16" s="3">
        <v>650</v>
      </c>
      <c r="D16" s="3"/>
      <c r="E16" s="4">
        <f t="shared" si="0"/>
        <v>-50</v>
      </c>
      <c r="F16" s="2"/>
    </row>
    <row r="17" spans="1:6">
      <c r="A17" s="1" t="s">
        <v>16</v>
      </c>
      <c r="B17" s="3">
        <v>800</v>
      </c>
      <c r="C17" s="3">
        <v>900</v>
      </c>
      <c r="D17" s="3"/>
      <c r="E17" s="4">
        <f t="shared" si="0"/>
        <v>-100</v>
      </c>
      <c r="F17" s="2"/>
    </row>
    <row r="18" spans="1:6" ht="15">
      <c r="A18" s="19" t="s">
        <v>18</v>
      </c>
      <c r="B18" s="23">
        <f>SUM(B10:B17)</f>
        <v>2537</v>
      </c>
      <c r="C18" s="23">
        <f>SUM(C10:C17)</f>
        <v>2655</v>
      </c>
      <c r="D18" s="27"/>
      <c r="E18" s="24">
        <f t="shared" si="0"/>
        <v>-118</v>
      </c>
      <c r="F18" s="22"/>
    </row>
    <row r="19" spans="1:6">
      <c r="A19" s="32"/>
      <c r="B19" s="29"/>
      <c r="C19" s="29"/>
      <c r="D19" s="29"/>
      <c r="E19" s="30"/>
      <c r="F19" s="31"/>
    </row>
    <row r="20" spans="1:6" ht="15">
      <c r="A20" s="28" t="s">
        <v>9</v>
      </c>
      <c r="B20" s="27"/>
      <c r="C20" s="27"/>
      <c r="D20" s="27"/>
      <c r="E20" s="24"/>
      <c r="F20" s="22"/>
    </row>
    <row r="21" spans="1:6">
      <c r="A21" s="1" t="s">
        <v>19</v>
      </c>
      <c r="B21" s="3">
        <v>75</v>
      </c>
      <c r="C21" s="3">
        <v>75</v>
      </c>
      <c r="D21" s="3"/>
      <c r="E21" s="4">
        <f>B21-C21</f>
        <v>0</v>
      </c>
      <c r="F21" s="2"/>
    </row>
    <row r="22" spans="1:6">
      <c r="A22" s="1" t="s">
        <v>21</v>
      </c>
      <c r="B22" s="3">
        <v>300</v>
      </c>
      <c r="C22" s="3">
        <v>350</v>
      </c>
      <c r="D22" s="3"/>
      <c r="E22" s="4">
        <f t="shared" ref="E22:E27" si="1">B22-C22</f>
        <v>-50</v>
      </c>
      <c r="F22" s="2"/>
    </row>
    <row r="23" spans="1:6">
      <c r="A23" s="1" t="s">
        <v>22</v>
      </c>
      <c r="B23" s="3">
        <v>100</v>
      </c>
      <c r="C23" s="3">
        <v>80</v>
      </c>
      <c r="D23" s="3"/>
      <c r="E23" s="4">
        <f t="shared" si="1"/>
        <v>20</v>
      </c>
      <c r="F23" s="2"/>
    </row>
    <row r="24" spans="1:6">
      <c r="A24" s="1" t="s">
        <v>23</v>
      </c>
      <c r="B24" s="3">
        <v>70</v>
      </c>
      <c r="C24" s="3">
        <v>50</v>
      </c>
      <c r="D24" s="3"/>
      <c r="E24" s="4">
        <f t="shared" si="1"/>
        <v>20</v>
      </c>
      <c r="F24" s="2"/>
    </row>
    <row r="25" spans="1:6">
      <c r="A25" s="1" t="s">
        <v>24</v>
      </c>
      <c r="B25" s="3">
        <v>200</v>
      </c>
      <c r="C25" s="3">
        <v>200</v>
      </c>
      <c r="D25" s="3"/>
      <c r="E25" s="4">
        <f t="shared" si="1"/>
        <v>0</v>
      </c>
      <c r="F25" s="2"/>
    </row>
    <row r="26" spans="1:6">
      <c r="A26" s="1" t="s">
        <v>20</v>
      </c>
      <c r="B26" s="3">
        <v>30</v>
      </c>
      <c r="C26" s="3">
        <v>30</v>
      </c>
      <c r="D26" s="3"/>
      <c r="E26" s="4">
        <f t="shared" si="1"/>
        <v>0</v>
      </c>
      <c r="F26" s="2"/>
    </row>
    <row r="27" spans="1:6" ht="15">
      <c r="A27" s="19" t="s">
        <v>26</v>
      </c>
      <c r="B27" s="23">
        <f>SUM(B21:B26)</f>
        <v>775</v>
      </c>
      <c r="C27" s="23">
        <f>SUM(C21:C26)</f>
        <v>785</v>
      </c>
      <c r="D27" s="27"/>
      <c r="E27" s="24">
        <f t="shared" si="1"/>
        <v>-10</v>
      </c>
      <c r="F27" s="22"/>
    </row>
    <row r="28" spans="1:6" ht="15">
      <c r="A28" s="15"/>
      <c r="B28" s="14"/>
      <c r="C28" s="14"/>
      <c r="D28" s="29"/>
      <c r="E28" s="30"/>
      <c r="F28" s="31"/>
    </row>
    <row r="29" spans="1:6" ht="15">
      <c r="A29" s="19" t="s">
        <v>25</v>
      </c>
      <c r="B29" s="23">
        <f>C18+C27</f>
        <v>3440</v>
      </c>
      <c r="C29" s="23"/>
      <c r="D29" s="27"/>
      <c r="E29" s="27"/>
      <c r="F29" s="22"/>
    </row>
    <row r="30" spans="1:6" ht="15">
      <c r="A30" s="15"/>
      <c r="B30" s="15"/>
      <c r="C30" s="15"/>
      <c r="D30" s="15"/>
      <c r="E30" s="15"/>
      <c r="F30" s="15"/>
    </row>
    <row r="31" spans="1:6" ht="15">
      <c r="A31" s="19" t="s">
        <v>27</v>
      </c>
      <c r="B31" s="26">
        <f>B6-B29</f>
        <v>260</v>
      </c>
      <c r="C31" s="18"/>
      <c r="D31" s="18"/>
      <c r="E31" s="18"/>
      <c r="F31" s="22"/>
    </row>
    <row r="32" spans="1:6" ht="15">
      <c r="A32" s="15"/>
      <c r="B32" s="15"/>
      <c r="C32" s="15"/>
      <c r="D32" s="15"/>
      <c r="E32" s="15"/>
      <c r="F32" s="15"/>
    </row>
    <row r="33" spans="1:6" ht="15">
      <c r="A33" s="20" t="s">
        <v>29</v>
      </c>
      <c r="B33" s="21">
        <v>46101</v>
      </c>
      <c r="C33" s="21">
        <v>46128</v>
      </c>
      <c r="D33" s="22"/>
      <c r="E33" s="22"/>
      <c r="F33" s="22"/>
    </row>
    <row r="34" spans="1:6">
      <c r="A34" s="2" t="s">
        <v>30</v>
      </c>
      <c r="B34" s="5">
        <v>600</v>
      </c>
      <c r="C34" s="5">
        <v>650</v>
      </c>
      <c r="D34" s="2"/>
      <c r="E34" s="4">
        <f>C34-B34</f>
        <v>50</v>
      </c>
      <c r="F34" s="6">
        <f>C34/B34-1</f>
        <v>8.3333333333333259E-2</v>
      </c>
    </row>
    <row r="35" spans="1:6">
      <c r="A35" s="2" t="s">
        <v>31</v>
      </c>
      <c r="B35" s="5">
        <v>700</v>
      </c>
      <c r="C35" s="5">
        <v>715</v>
      </c>
      <c r="D35" s="2"/>
      <c r="E35" s="4">
        <f t="shared" ref="E35:E37" si="2">C35-B35</f>
        <v>15</v>
      </c>
      <c r="F35" s="6">
        <f>C35/B35-1</f>
        <v>2.1428571428571352E-2</v>
      </c>
    </row>
    <row r="36" spans="1:6">
      <c r="A36" s="2" t="s">
        <v>32</v>
      </c>
      <c r="B36" s="5">
        <v>1000</v>
      </c>
      <c r="C36" s="5">
        <v>1025</v>
      </c>
      <c r="D36" s="2"/>
      <c r="E36" s="4">
        <f t="shared" si="2"/>
        <v>25</v>
      </c>
      <c r="F36" s="6">
        <f>C36/B36-1</f>
        <v>2.4999999999999911E-2</v>
      </c>
    </row>
    <row r="37" spans="1:6" ht="15">
      <c r="A37" s="20" t="s">
        <v>33</v>
      </c>
      <c r="B37" s="23">
        <f>SUM(B34:B36)</f>
        <v>2300</v>
      </c>
      <c r="C37" s="23">
        <f>SUM(C34:C36)</f>
        <v>2390</v>
      </c>
      <c r="D37" s="22"/>
      <c r="E37" s="24">
        <f t="shared" si="2"/>
        <v>90</v>
      </c>
      <c r="F37" s="25">
        <f>C37/B37-1</f>
        <v>3.9130434782608692E-2</v>
      </c>
    </row>
  </sheetData>
  <conditionalFormatting sqref="E10:E29 E31">
    <cfRule type="cellIs" dxfId="9" priority="7" operator="lessThan">
      <formula>-14</formula>
    </cfRule>
    <cfRule type="cellIs" dxfId="8" priority="8" operator="greaterThan">
      <formula>0</formula>
    </cfRule>
    <cfRule type="cellIs" dxfId="7" priority="9" operator="greaterThan">
      <formula>0</formula>
    </cfRule>
    <cfRule type="cellIs" dxfId="6" priority="10" operator="greaterThan">
      <formula>0</formula>
    </cfRule>
  </conditionalFormatting>
  <conditionalFormatting sqref="E27:E28">
    <cfRule type="cellIs" dxfId="5" priority="6" operator="lessThan">
      <formula>0</formula>
    </cfRule>
  </conditionalFormatting>
  <conditionalFormatting sqref="E34:E37">
    <cfRule type="cellIs" dxfId="4" priority="2" operator="lessThan">
      <formula>-14</formula>
    </cfRule>
    <cfRule type="cellIs" dxfId="3" priority="3" operator="greaterThan">
      <formula>0</formula>
    </cfRule>
    <cfRule type="cellIs" dxfId="2" priority="4" operator="greaterThan">
      <formula>0</formula>
    </cfRule>
    <cfRule type="cellIs" dxfId="1" priority="5" operator="greaterThan">
      <formula>0</formula>
    </cfRule>
  </conditionalFormatting>
  <conditionalFormatting sqref="E34:E37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B37:C3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DOS SANTOS DE SOUZA</dc:creator>
  <cp:lastModifiedBy>GREGORY DOS SANTOS DE SOUZA</cp:lastModifiedBy>
  <dcterms:created xsi:type="dcterms:W3CDTF">2026-04-27T16:58:01Z</dcterms:created>
  <dcterms:modified xsi:type="dcterms:W3CDTF">2026-04-27T20:26:27Z</dcterms:modified>
</cp:coreProperties>
</file>